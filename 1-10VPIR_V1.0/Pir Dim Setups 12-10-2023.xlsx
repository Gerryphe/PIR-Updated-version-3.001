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801c1d6fe5b48a/PCB Development and Firmware 2023/Mo Ayat/Mo Ayat Share/1-10VPIR_V1.0/"/>
    </mc:Choice>
  </mc:AlternateContent>
  <xr:revisionPtr revIDLastSave="149" documentId="8_{05FFE10F-9EB1-4CCB-9698-BB3AF2C6AC71}" xr6:coauthVersionLast="47" xr6:coauthVersionMax="47" xr10:uidLastSave="{540FB236-004D-4D18-8755-AD706D7EAD20}"/>
  <bookViews>
    <workbookView xWindow="-120" yWindow="-120" windowWidth="38640" windowHeight="23790" xr2:uid="{87D7CC84-E058-49E9-9875-06854D18097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4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N4" i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4" i="3"/>
  <c r="D21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L4" i="2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J4" i="1"/>
  <c r="D21" i="1"/>
  <c r="K6" i="1" s="1"/>
  <c r="J5" i="1" l="1"/>
  <c r="K11" i="1"/>
  <c r="K10" i="1"/>
  <c r="K17" i="1"/>
  <c r="K14" i="1"/>
  <c r="K9" i="1"/>
  <c r="K5" i="1"/>
  <c r="K8" i="1"/>
  <c r="K16" i="1"/>
  <c r="K15" i="1"/>
  <c r="K13" i="1"/>
  <c r="K12" i="1"/>
  <c r="K19" i="1"/>
  <c r="K7" i="1"/>
  <c r="K18" i="1"/>
  <c r="J6" i="1" l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</calcChain>
</file>

<file path=xl/sharedStrings.xml><?xml version="1.0" encoding="utf-8"?>
<sst xmlns="http://schemas.openxmlformats.org/spreadsheetml/2006/main" count="35" uniqueCount="19">
  <si>
    <t>PIR Dimming Pin Setup and how it works</t>
  </si>
  <si>
    <t>40w driver</t>
  </si>
  <si>
    <t>80w Driver</t>
  </si>
  <si>
    <t>Default setting</t>
  </si>
  <si>
    <t xml:space="preserve">Pin setups </t>
  </si>
  <si>
    <t>Max Output</t>
  </si>
  <si>
    <t>Output</t>
  </si>
  <si>
    <t>Difference</t>
  </si>
  <si>
    <t>ma</t>
  </si>
  <si>
    <t>watts</t>
  </si>
  <si>
    <t>%</t>
  </si>
  <si>
    <t>Dimming</t>
  </si>
  <si>
    <t>Default</t>
  </si>
  <si>
    <t>Max</t>
  </si>
  <si>
    <t>Pin variant</t>
  </si>
  <si>
    <t>dimming value %</t>
  </si>
  <si>
    <t>max output %</t>
  </si>
  <si>
    <t>Watts@24vdc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</si>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</sst>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0" fontId="0" fillId="0" borderId="0" xfId="0" applyNumberFormat="1"/>
    <xf numFmtId="0" fontId="0" fillId="0" borderId="1" xfId="0" applyBorder="1"/>
    <xf numFmtId="9" fontId="0" fillId="0" borderId="1" xfId="0" applyNumberFormat="1" applyBorder="1"/>
    <xf numFmtId="10" fontId="0" fillId="0" borderId="1" xfId="0" applyNumberFormat="1" applyBorder="1"/>
    <xf numFmtId="0" fontId="1" fillId="0" borderId="1" xfId="0" applyFont="1" applyBorder="1"/>
    <xf numFmtId="10" fontId="1" fillId="0" borderId="1" xfId="0" applyNumberFormat="1" applyFont="1" applyBorder="1"/>
    <xf numFmtId="0" fontId="0" fillId="2" borderId="0" xfId="0" applyFill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91C1-2FA5-4A71-BC0A-15EB6D985896}">
  <dimension ref="B1:R22"/>
  <sheetViews>
    <sheetView tabSelected="1" topLeftCell="E1" workbookViewId="0">
      <selection activeCell="O3" sqref="O3"/>
    </sheetView>
  </sheetViews>
  <sheetFormatPr defaultRowHeight="15"/>
  <cols>
    <col min="2" max="2" width="14.28515625" bestFit="1" customWidth="1"/>
    <col min="3" max="3" width="11.42578125" bestFit="1" customWidth="1"/>
    <col min="4" max="4" width="14.28515625" bestFit="1" customWidth="1"/>
    <col min="5" max="6" width="10.5703125" bestFit="1" customWidth="1"/>
    <col min="10" max="10" width="11.140625" style="1" bestFit="1" customWidth="1"/>
    <col min="11" max="11" width="10.42578125" style="1" bestFit="1" customWidth="1"/>
    <col min="15" max="15" width="9.140625" style="1"/>
    <col min="16" max="16" width="9.140625" style="13"/>
  </cols>
  <sheetData>
    <row r="1" spans="2:18" ht="21">
      <c r="B1" s="9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11" t="s">
        <v>1</v>
      </c>
      <c r="O1" s="10"/>
      <c r="P1" s="12"/>
      <c r="Q1" s="10" t="s">
        <v>2</v>
      </c>
      <c r="R1" s="10"/>
    </row>
    <row r="2" spans="2:18">
      <c r="B2" s="2"/>
      <c r="C2" s="2"/>
      <c r="D2" s="2" t="s">
        <v>3</v>
      </c>
      <c r="E2" s="2"/>
      <c r="F2" s="8" t="s">
        <v>4</v>
      </c>
      <c r="G2" s="8"/>
      <c r="H2" s="8"/>
      <c r="I2" s="8"/>
      <c r="J2" s="8"/>
      <c r="K2" s="8"/>
      <c r="L2" s="2"/>
      <c r="M2" s="2"/>
      <c r="N2">
        <v>24</v>
      </c>
    </row>
    <row r="3" spans="2:18">
      <c r="B3" s="2"/>
      <c r="C3" s="2" t="s">
        <v>5</v>
      </c>
      <c r="D3" s="3">
        <v>1</v>
      </c>
      <c r="E3" s="2"/>
      <c r="F3" s="2"/>
      <c r="G3" s="2"/>
      <c r="H3" s="2"/>
      <c r="I3" s="2"/>
      <c r="J3" s="4" t="s">
        <v>6</v>
      </c>
      <c r="K3" s="4" t="s">
        <v>7</v>
      </c>
      <c r="L3" s="2"/>
      <c r="M3" s="2" t="s">
        <v>8</v>
      </c>
      <c r="N3" t="s">
        <v>9</v>
      </c>
      <c r="P3" s="13" t="s">
        <v>8</v>
      </c>
      <c r="Q3" t="s">
        <v>9</v>
      </c>
      <c r="R3" t="s">
        <v>10</v>
      </c>
    </row>
    <row r="4" spans="2:18">
      <c r="B4" s="2"/>
      <c r="C4" s="2" t="s">
        <v>11</v>
      </c>
      <c r="D4" s="3">
        <v>0.25</v>
      </c>
      <c r="E4" s="2"/>
      <c r="F4" s="5">
        <v>0</v>
      </c>
      <c r="G4" s="5">
        <v>0</v>
      </c>
      <c r="H4" s="5">
        <v>0</v>
      </c>
      <c r="I4" s="5">
        <v>0</v>
      </c>
      <c r="J4" s="6">
        <f>D4</f>
        <v>0.25</v>
      </c>
      <c r="K4" s="6">
        <v>0</v>
      </c>
      <c r="L4" s="5" t="s">
        <v>12</v>
      </c>
      <c r="M4" s="2">
        <v>0.442</v>
      </c>
      <c r="N4">
        <f>M4*24</f>
        <v>10.608000000000001</v>
      </c>
      <c r="O4" s="1">
        <f>N4/$N$2</f>
        <v>0.442</v>
      </c>
      <c r="P4" s="13">
        <v>0.91600000000000004</v>
      </c>
      <c r="Q4">
        <f>P4*24</f>
        <v>21.984000000000002</v>
      </c>
      <c r="R4" s="1">
        <f>Q4/$N$2</f>
        <v>0.91600000000000004</v>
      </c>
    </row>
    <row r="5" spans="2:18">
      <c r="B5" s="2"/>
      <c r="C5" s="2"/>
      <c r="D5" s="2"/>
      <c r="E5" s="2"/>
      <c r="F5" s="2">
        <v>0</v>
      </c>
      <c r="G5" s="2">
        <v>0</v>
      </c>
      <c r="H5" s="2">
        <v>0</v>
      </c>
      <c r="I5" s="2">
        <v>1</v>
      </c>
      <c r="J5" s="4">
        <f>J4+K6</f>
        <v>0.3</v>
      </c>
      <c r="K5" s="4">
        <f>$D$21/15</f>
        <v>0.05</v>
      </c>
      <c r="L5" s="2"/>
      <c r="M5" s="2">
        <v>0.96799999999999997</v>
      </c>
      <c r="N5">
        <f t="shared" ref="N5:N19" si="0">M5*24</f>
        <v>23.231999999999999</v>
      </c>
      <c r="O5" s="1">
        <f t="shared" ref="O5:O19" si="1">N5/$N$2</f>
        <v>0.96799999999999997</v>
      </c>
      <c r="P5" s="13">
        <v>0.91800000000000004</v>
      </c>
      <c r="Q5">
        <f t="shared" ref="Q5:Q19" si="2">P5*24</f>
        <v>22.032</v>
      </c>
      <c r="R5" s="1">
        <f t="shared" ref="R5:R19" si="3">Q5/$N$2</f>
        <v>0.91800000000000004</v>
      </c>
    </row>
    <row r="6" spans="2:18">
      <c r="B6" s="2"/>
      <c r="C6" s="2"/>
      <c r="D6" s="2"/>
      <c r="E6" s="2"/>
      <c r="F6" s="2">
        <v>0</v>
      </c>
      <c r="G6" s="2">
        <v>0</v>
      </c>
      <c r="H6" s="2">
        <v>1</v>
      </c>
      <c r="I6" s="2">
        <v>0</v>
      </c>
      <c r="J6" s="4">
        <f t="shared" ref="J6:J19" si="4">J5+K7</f>
        <v>0.35</v>
      </c>
      <c r="K6" s="4">
        <f t="shared" ref="K6:K19" si="5">$D$21/15</f>
        <v>0.05</v>
      </c>
      <c r="L6" s="2"/>
      <c r="M6" s="2">
        <v>0.79500000000000004</v>
      </c>
      <c r="N6">
        <f t="shared" si="0"/>
        <v>19.080000000000002</v>
      </c>
      <c r="O6" s="1">
        <f t="shared" si="1"/>
        <v>0.79500000000000004</v>
      </c>
      <c r="P6" s="13">
        <v>0.91900000000000004</v>
      </c>
      <c r="Q6">
        <f t="shared" si="2"/>
        <v>22.056000000000001</v>
      </c>
      <c r="R6" s="1">
        <f t="shared" si="3"/>
        <v>0.91900000000000004</v>
      </c>
    </row>
    <row r="7" spans="2:18">
      <c r="B7" s="2"/>
      <c r="C7" s="2"/>
      <c r="D7" s="2"/>
      <c r="E7" s="2"/>
      <c r="F7" s="2">
        <v>0</v>
      </c>
      <c r="G7" s="2">
        <v>0</v>
      </c>
      <c r="H7" s="2">
        <v>1</v>
      </c>
      <c r="I7" s="2">
        <v>1</v>
      </c>
      <c r="J7" s="4">
        <f t="shared" si="4"/>
        <v>0.39999999999999997</v>
      </c>
      <c r="K7" s="4">
        <f t="shared" si="5"/>
        <v>0.05</v>
      </c>
      <c r="L7" s="2"/>
      <c r="M7" s="2">
        <v>0.96799999999999997</v>
      </c>
      <c r="N7">
        <f t="shared" si="0"/>
        <v>23.231999999999999</v>
      </c>
      <c r="O7" s="1">
        <f t="shared" si="1"/>
        <v>0.96799999999999997</v>
      </c>
      <c r="Q7">
        <f t="shared" si="2"/>
        <v>0</v>
      </c>
      <c r="R7" s="1">
        <f t="shared" si="3"/>
        <v>0</v>
      </c>
    </row>
    <row r="8" spans="2:18">
      <c r="B8" s="2"/>
      <c r="C8" s="2"/>
      <c r="D8" s="2"/>
      <c r="E8" s="2"/>
      <c r="F8" s="2">
        <v>0</v>
      </c>
      <c r="G8" s="2">
        <v>1</v>
      </c>
      <c r="H8" s="2">
        <v>0</v>
      </c>
      <c r="I8" s="2">
        <v>0</v>
      </c>
      <c r="J8" s="4">
        <f t="shared" si="4"/>
        <v>0.44999999999999996</v>
      </c>
      <c r="K8" s="4">
        <f t="shared" si="5"/>
        <v>0.05</v>
      </c>
      <c r="L8" s="2"/>
      <c r="M8" s="2">
        <v>0.62</v>
      </c>
      <c r="N8">
        <f t="shared" si="0"/>
        <v>14.879999999999999</v>
      </c>
      <c r="O8" s="1">
        <f t="shared" si="1"/>
        <v>0.62</v>
      </c>
      <c r="Q8">
        <f t="shared" si="2"/>
        <v>0</v>
      </c>
      <c r="R8" s="1">
        <f t="shared" si="3"/>
        <v>0</v>
      </c>
    </row>
    <row r="9" spans="2:18">
      <c r="B9" s="2"/>
      <c r="C9" s="2"/>
      <c r="D9" s="2"/>
      <c r="E9" s="2"/>
      <c r="F9" s="2">
        <v>0</v>
      </c>
      <c r="G9" s="2">
        <v>1</v>
      </c>
      <c r="H9" s="2">
        <v>0</v>
      </c>
      <c r="I9" s="2">
        <v>1</v>
      </c>
      <c r="J9" s="4">
        <f t="shared" si="4"/>
        <v>0.49999999999999994</v>
      </c>
      <c r="K9" s="4">
        <f t="shared" si="5"/>
        <v>0.05</v>
      </c>
      <c r="L9" s="2"/>
      <c r="M9" s="2">
        <v>0.99</v>
      </c>
      <c r="N9">
        <f t="shared" si="0"/>
        <v>23.759999999999998</v>
      </c>
      <c r="O9" s="1">
        <f t="shared" si="1"/>
        <v>0.98999999999999988</v>
      </c>
      <c r="Q9">
        <f t="shared" si="2"/>
        <v>0</v>
      </c>
      <c r="R9" s="1">
        <f t="shared" si="3"/>
        <v>0</v>
      </c>
    </row>
    <row r="10" spans="2:18">
      <c r="B10" s="2"/>
      <c r="C10" s="2"/>
      <c r="D10" s="2"/>
      <c r="E10" s="2"/>
      <c r="F10" s="2">
        <v>0</v>
      </c>
      <c r="G10" s="2">
        <v>1</v>
      </c>
      <c r="H10" s="2">
        <v>1</v>
      </c>
      <c r="I10" s="2">
        <v>0</v>
      </c>
      <c r="J10" s="4">
        <f t="shared" si="4"/>
        <v>0.54999999999999993</v>
      </c>
      <c r="K10" s="4">
        <f t="shared" si="5"/>
        <v>0.05</v>
      </c>
      <c r="L10" s="2"/>
      <c r="M10" s="2">
        <v>0.97099999999999997</v>
      </c>
      <c r="N10">
        <f t="shared" si="0"/>
        <v>23.303999999999998</v>
      </c>
      <c r="O10" s="1">
        <f t="shared" si="1"/>
        <v>0.97099999999999997</v>
      </c>
      <c r="Q10">
        <f t="shared" si="2"/>
        <v>0</v>
      </c>
      <c r="R10" s="1">
        <f t="shared" si="3"/>
        <v>0</v>
      </c>
    </row>
    <row r="11" spans="2:18">
      <c r="B11" s="2"/>
      <c r="C11" s="2"/>
      <c r="D11" s="2"/>
      <c r="E11" s="2"/>
      <c r="F11" s="2">
        <v>0</v>
      </c>
      <c r="G11" s="2">
        <v>1</v>
      </c>
      <c r="H11" s="2">
        <v>1</v>
      </c>
      <c r="I11" s="2">
        <v>1</v>
      </c>
      <c r="J11" s="4">
        <f t="shared" si="4"/>
        <v>0.6</v>
      </c>
      <c r="K11" s="4">
        <f t="shared" si="5"/>
        <v>0.05</v>
      </c>
      <c r="L11" s="2"/>
      <c r="M11" s="2">
        <v>0.996</v>
      </c>
      <c r="N11">
        <f t="shared" si="0"/>
        <v>23.904</v>
      </c>
      <c r="O11" s="1">
        <f t="shared" si="1"/>
        <v>0.996</v>
      </c>
      <c r="Q11">
        <f t="shared" si="2"/>
        <v>0</v>
      </c>
      <c r="R11" s="1">
        <f t="shared" si="3"/>
        <v>0</v>
      </c>
    </row>
    <row r="12" spans="2:18">
      <c r="B12" s="2"/>
      <c r="C12" s="2"/>
      <c r="D12" s="2"/>
      <c r="E12" s="2"/>
      <c r="F12" s="2">
        <v>1</v>
      </c>
      <c r="G12" s="2">
        <v>0</v>
      </c>
      <c r="H12" s="2">
        <v>0</v>
      </c>
      <c r="I12" s="2">
        <v>0</v>
      </c>
      <c r="J12" s="4">
        <f t="shared" si="4"/>
        <v>0.65</v>
      </c>
      <c r="K12" s="4">
        <f t="shared" si="5"/>
        <v>0.05</v>
      </c>
      <c r="L12" s="2"/>
      <c r="M12" s="2">
        <v>0.53</v>
      </c>
      <c r="N12">
        <f t="shared" si="0"/>
        <v>12.72</v>
      </c>
      <c r="O12" s="1">
        <f t="shared" si="1"/>
        <v>0.53</v>
      </c>
      <c r="Q12">
        <f t="shared" si="2"/>
        <v>0</v>
      </c>
      <c r="R12" s="1">
        <f t="shared" si="3"/>
        <v>0</v>
      </c>
    </row>
    <row r="13" spans="2:18">
      <c r="B13" s="2"/>
      <c r="C13" s="2"/>
      <c r="D13" s="2"/>
      <c r="E13" s="2"/>
      <c r="F13" s="2">
        <v>1</v>
      </c>
      <c r="G13" s="2">
        <v>0</v>
      </c>
      <c r="H13" s="2">
        <v>0</v>
      </c>
      <c r="I13" s="2">
        <v>1</v>
      </c>
      <c r="J13" s="4">
        <f t="shared" si="4"/>
        <v>0.70000000000000007</v>
      </c>
      <c r="K13" s="4">
        <f t="shared" si="5"/>
        <v>0.05</v>
      </c>
      <c r="L13" s="2"/>
      <c r="M13" s="2">
        <v>0.98899999999999999</v>
      </c>
      <c r="N13">
        <f t="shared" si="0"/>
        <v>23.736000000000001</v>
      </c>
      <c r="O13" s="1">
        <f t="shared" si="1"/>
        <v>0.98899999999999999</v>
      </c>
      <c r="Q13">
        <f t="shared" si="2"/>
        <v>0</v>
      </c>
      <c r="R13" s="1">
        <f t="shared" si="3"/>
        <v>0</v>
      </c>
    </row>
    <row r="14" spans="2:18">
      <c r="B14" s="2"/>
      <c r="C14" s="2"/>
      <c r="D14" s="2"/>
      <c r="E14" s="2"/>
      <c r="F14" s="2">
        <v>1</v>
      </c>
      <c r="G14" s="2">
        <v>0</v>
      </c>
      <c r="H14" s="2">
        <v>1</v>
      </c>
      <c r="I14" s="2">
        <v>0</v>
      </c>
      <c r="J14" s="4">
        <f t="shared" si="4"/>
        <v>0.75000000000000011</v>
      </c>
      <c r="K14" s="4">
        <f t="shared" si="5"/>
        <v>0.05</v>
      </c>
      <c r="L14" s="2"/>
      <c r="M14" s="2">
        <v>0.88400000000000001</v>
      </c>
      <c r="N14">
        <f t="shared" si="0"/>
        <v>21.216000000000001</v>
      </c>
      <c r="O14" s="1">
        <f t="shared" si="1"/>
        <v>0.88400000000000001</v>
      </c>
      <c r="Q14">
        <f t="shared" si="2"/>
        <v>0</v>
      </c>
      <c r="R14" s="1">
        <f t="shared" si="3"/>
        <v>0</v>
      </c>
    </row>
    <row r="15" spans="2:18">
      <c r="B15" s="2"/>
      <c r="C15" s="2"/>
      <c r="D15" s="2"/>
      <c r="E15" s="2"/>
      <c r="F15" s="2">
        <v>1</v>
      </c>
      <c r="G15" s="2">
        <v>0</v>
      </c>
      <c r="H15" s="2">
        <v>1</v>
      </c>
      <c r="I15" s="2">
        <v>1</v>
      </c>
      <c r="J15" s="4">
        <f t="shared" si="4"/>
        <v>0.80000000000000016</v>
      </c>
      <c r="K15" s="4">
        <f t="shared" si="5"/>
        <v>0.05</v>
      </c>
      <c r="L15" s="2"/>
      <c r="M15" s="2">
        <v>0.99</v>
      </c>
      <c r="N15">
        <f t="shared" si="0"/>
        <v>23.759999999999998</v>
      </c>
      <c r="O15" s="1">
        <f t="shared" si="1"/>
        <v>0.98999999999999988</v>
      </c>
      <c r="Q15">
        <f t="shared" si="2"/>
        <v>0</v>
      </c>
      <c r="R15" s="1">
        <f t="shared" si="3"/>
        <v>0</v>
      </c>
    </row>
    <row r="16" spans="2:18">
      <c r="B16" s="2"/>
      <c r="C16" s="2"/>
      <c r="D16" s="2"/>
      <c r="E16" s="2"/>
      <c r="F16" s="2">
        <v>1</v>
      </c>
      <c r="G16" s="2">
        <v>1</v>
      </c>
      <c r="H16" s="2">
        <v>0</v>
      </c>
      <c r="I16" s="2">
        <v>0</v>
      </c>
      <c r="J16" s="4">
        <f t="shared" si="4"/>
        <v>0.8500000000000002</v>
      </c>
      <c r="K16" s="4">
        <f t="shared" si="5"/>
        <v>0.05</v>
      </c>
      <c r="L16" s="2"/>
      <c r="M16" s="2">
        <v>0.71</v>
      </c>
      <c r="N16">
        <f t="shared" si="0"/>
        <v>17.04</v>
      </c>
      <c r="O16" s="1">
        <f t="shared" si="1"/>
        <v>0.71</v>
      </c>
      <c r="Q16">
        <f t="shared" si="2"/>
        <v>0</v>
      </c>
      <c r="R16" s="1">
        <f t="shared" si="3"/>
        <v>0</v>
      </c>
    </row>
    <row r="17" spans="2:18">
      <c r="B17" s="2"/>
      <c r="C17" s="2"/>
      <c r="D17" s="2"/>
      <c r="E17" s="2"/>
      <c r="F17" s="2">
        <v>1</v>
      </c>
      <c r="G17" s="2">
        <v>1</v>
      </c>
      <c r="H17" s="2">
        <v>0</v>
      </c>
      <c r="I17" s="2">
        <v>1</v>
      </c>
      <c r="J17" s="4">
        <f t="shared" si="4"/>
        <v>0.90000000000000024</v>
      </c>
      <c r="K17" s="4">
        <f t="shared" si="5"/>
        <v>0.05</v>
      </c>
      <c r="L17" s="2"/>
      <c r="M17" s="2">
        <v>0.99</v>
      </c>
      <c r="N17">
        <f t="shared" si="0"/>
        <v>23.759999999999998</v>
      </c>
      <c r="O17" s="1">
        <f t="shared" si="1"/>
        <v>0.98999999999999988</v>
      </c>
      <c r="Q17">
        <f t="shared" si="2"/>
        <v>0</v>
      </c>
      <c r="R17" s="1">
        <f t="shared" si="3"/>
        <v>0</v>
      </c>
    </row>
    <row r="18" spans="2:18">
      <c r="B18" s="2"/>
      <c r="C18" s="2"/>
      <c r="D18" s="2"/>
      <c r="E18" s="2"/>
      <c r="F18" s="2">
        <v>1</v>
      </c>
      <c r="G18" s="2">
        <v>1</v>
      </c>
      <c r="H18" s="2">
        <v>1</v>
      </c>
      <c r="I18" s="2">
        <v>0</v>
      </c>
      <c r="J18" s="4">
        <f t="shared" si="4"/>
        <v>0.95000000000000029</v>
      </c>
      <c r="K18" s="4">
        <f t="shared" si="5"/>
        <v>0.05</v>
      </c>
      <c r="L18" s="2"/>
      <c r="M18" s="2">
        <v>0.99099999999999999</v>
      </c>
      <c r="N18">
        <f t="shared" si="0"/>
        <v>23.783999999999999</v>
      </c>
      <c r="O18" s="1">
        <f t="shared" si="1"/>
        <v>0.99099999999999999</v>
      </c>
      <c r="Q18">
        <f t="shared" si="2"/>
        <v>0</v>
      </c>
      <c r="R18" s="1">
        <f t="shared" si="3"/>
        <v>0</v>
      </c>
    </row>
    <row r="19" spans="2:18">
      <c r="B19" s="2"/>
      <c r="C19" s="2"/>
      <c r="D19" s="2"/>
      <c r="E19" s="2"/>
      <c r="F19" s="5">
        <v>1</v>
      </c>
      <c r="G19" s="5">
        <v>1</v>
      </c>
      <c r="H19" s="5">
        <v>1</v>
      </c>
      <c r="I19" s="5">
        <v>1</v>
      </c>
      <c r="J19" s="6">
        <f>J18+K19</f>
        <v>1.0000000000000002</v>
      </c>
      <c r="K19" s="6">
        <f t="shared" si="5"/>
        <v>0.05</v>
      </c>
      <c r="L19" s="5" t="s">
        <v>13</v>
      </c>
      <c r="M19" s="2">
        <v>0.99199999999999999</v>
      </c>
      <c r="N19">
        <f t="shared" si="0"/>
        <v>23.808</v>
      </c>
      <c r="O19" s="1">
        <f t="shared" si="1"/>
        <v>0.99199999999999999</v>
      </c>
      <c r="P19" s="13">
        <v>0.93</v>
      </c>
      <c r="Q19">
        <f t="shared" si="2"/>
        <v>22.32</v>
      </c>
      <c r="R19" s="1">
        <f t="shared" si="3"/>
        <v>0.93</v>
      </c>
    </row>
    <row r="20" spans="2:18">
      <c r="B20" s="2"/>
      <c r="C20" s="2"/>
      <c r="D20" s="2"/>
      <c r="E20" s="2"/>
      <c r="F20" s="2"/>
      <c r="G20" s="2"/>
      <c r="H20" s="2"/>
      <c r="I20" s="2"/>
      <c r="J20" s="4"/>
      <c r="K20" s="4"/>
      <c r="L20" s="2"/>
      <c r="M20" s="2"/>
    </row>
    <row r="21" spans="2:18">
      <c r="B21" s="2"/>
      <c r="C21" s="2" t="s">
        <v>14</v>
      </c>
      <c r="D21" s="3">
        <f>D3-D4</f>
        <v>0.75</v>
      </c>
      <c r="E21" s="2"/>
      <c r="F21" s="2"/>
      <c r="G21" s="2"/>
      <c r="H21" s="2"/>
      <c r="I21" s="2"/>
      <c r="J21" s="4"/>
      <c r="K21" s="4"/>
      <c r="L21" s="2"/>
      <c r="M21" s="2"/>
    </row>
    <row r="22" spans="2:18">
      <c r="B22" s="2"/>
      <c r="C22" s="2"/>
      <c r="D22" s="2"/>
      <c r="E22" s="2"/>
      <c r="F22" s="2"/>
      <c r="G22" s="2"/>
      <c r="H22" s="2"/>
      <c r="I22" s="2"/>
      <c r="J22" s="4"/>
      <c r="K22" s="4"/>
      <c r="L22" s="2"/>
      <c r="M22" s="2"/>
    </row>
  </sheetData>
  <mergeCells count="4">
    <mergeCell ref="F2:K2"/>
    <mergeCell ref="B1:M1"/>
    <mergeCell ref="N1:O1"/>
    <mergeCell ref="Q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D080-6309-47E4-AF40-2CF203E4818A}">
  <dimension ref="B1:O22"/>
  <sheetViews>
    <sheetView workbookViewId="0">
      <selection activeCell="E2" sqref="E2"/>
    </sheetView>
  </sheetViews>
  <sheetFormatPr defaultRowHeight="15"/>
  <cols>
    <col min="2" max="2" width="14.28515625" bestFit="1" customWidth="1"/>
    <col min="3" max="3" width="11.42578125" bestFit="1" customWidth="1"/>
    <col min="4" max="4" width="14.28515625" bestFit="1" customWidth="1"/>
    <col min="5" max="6" width="14.28515625" customWidth="1"/>
    <col min="7" max="8" width="10.5703125" bestFit="1" customWidth="1"/>
    <col min="12" max="12" width="11.140625" style="1" bestFit="1" customWidth="1"/>
    <col min="13" max="13" width="10.42578125" style="1" bestFit="1" customWidth="1"/>
  </cols>
  <sheetData>
    <row r="1" spans="2:15" ht="21">
      <c r="B1" s="9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2:15">
      <c r="B2" s="2"/>
      <c r="C2" s="2"/>
      <c r="D2" s="2" t="s">
        <v>3</v>
      </c>
      <c r="E2" s="2"/>
      <c r="F2" s="2"/>
      <c r="G2" s="2"/>
      <c r="H2" s="8" t="s">
        <v>4</v>
      </c>
      <c r="I2" s="8"/>
      <c r="J2" s="8"/>
      <c r="K2" s="8"/>
      <c r="L2" s="8"/>
      <c r="M2" s="8"/>
      <c r="N2" s="2"/>
      <c r="O2" s="2"/>
    </row>
    <row r="3" spans="2:15">
      <c r="B3" s="2"/>
      <c r="C3" s="2" t="s">
        <v>5</v>
      </c>
      <c r="D3" s="3">
        <v>0.1</v>
      </c>
      <c r="E3" s="3"/>
      <c r="F3" s="3"/>
      <c r="G3" s="2"/>
      <c r="H3" s="2"/>
      <c r="I3" s="2"/>
      <c r="J3" s="2"/>
      <c r="K3" s="2"/>
      <c r="L3" s="4" t="s">
        <v>6</v>
      </c>
      <c r="M3" s="4" t="s">
        <v>7</v>
      </c>
      <c r="N3" s="2"/>
      <c r="O3" s="2"/>
    </row>
    <row r="4" spans="2:15">
      <c r="B4" s="2"/>
      <c r="C4" s="2" t="s">
        <v>11</v>
      </c>
      <c r="D4" s="3">
        <v>0.05</v>
      </c>
      <c r="E4" s="3"/>
      <c r="F4" s="3"/>
      <c r="G4" s="2"/>
      <c r="H4" s="5">
        <v>0</v>
      </c>
      <c r="I4" s="5">
        <v>0</v>
      </c>
      <c r="J4" s="5">
        <v>0</v>
      </c>
      <c r="K4" s="5">
        <v>0</v>
      </c>
      <c r="L4" s="6">
        <f>D4</f>
        <v>0.05</v>
      </c>
      <c r="M4" s="6">
        <v>0</v>
      </c>
      <c r="N4" s="5" t="s">
        <v>12</v>
      </c>
      <c r="O4" s="2"/>
    </row>
    <row r="5" spans="2:15">
      <c r="B5" s="2"/>
      <c r="C5" s="2"/>
      <c r="D5" s="2"/>
      <c r="E5" s="2"/>
      <c r="F5" s="2"/>
      <c r="G5" s="2"/>
      <c r="H5" s="2">
        <v>0</v>
      </c>
      <c r="I5" s="2">
        <v>0</v>
      </c>
      <c r="J5" s="2">
        <v>0</v>
      </c>
      <c r="K5" s="2">
        <v>1</v>
      </c>
      <c r="L5" s="4">
        <f>L4+M6</f>
        <v>5.3333333333333337E-2</v>
      </c>
      <c r="M5" s="4">
        <f>$D$21/15</f>
        <v>3.3333333333333335E-3</v>
      </c>
      <c r="N5" s="2"/>
      <c r="O5" s="2"/>
    </row>
    <row r="6" spans="2:15">
      <c r="B6" s="2"/>
      <c r="C6" s="2"/>
      <c r="D6" s="2"/>
      <c r="E6" s="2"/>
      <c r="F6" s="2"/>
      <c r="G6" s="2"/>
      <c r="H6" s="2">
        <v>0</v>
      </c>
      <c r="I6" s="2">
        <v>0</v>
      </c>
      <c r="J6" s="2">
        <v>1</v>
      </c>
      <c r="K6" s="2">
        <v>0</v>
      </c>
      <c r="L6" s="4">
        <f t="shared" ref="L6:L18" si="0">L5+M7</f>
        <v>5.6666666666666671E-2</v>
      </c>
      <c r="M6" s="4">
        <f t="shared" ref="M6:M19" si="1">$D$21/15</f>
        <v>3.3333333333333335E-3</v>
      </c>
      <c r="N6" s="2"/>
      <c r="O6" s="2"/>
    </row>
    <row r="7" spans="2:15">
      <c r="B7" s="2"/>
      <c r="C7" s="2"/>
      <c r="D7" s="2"/>
      <c r="E7" s="2"/>
      <c r="F7" s="2"/>
      <c r="G7" s="2"/>
      <c r="H7" s="2">
        <v>0</v>
      </c>
      <c r="I7" s="2">
        <v>0</v>
      </c>
      <c r="J7" s="2">
        <v>1</v>
      </c>
      <c r="K7" s="2">
        <v>1</v>
      </c>
      <c r="L7" s="4">
        <f t="shared" si="0"/>
        <v>6.0000000000000005E-2</v>
      </c>
      <c r="M7" s="4">
        <f t="shared" si="1"/>
        <v>3.3333333333333335E-3</v>
      </c>
      <c r="N7" s="2"/>
      <c r="O7" s="2"/>
    </row>
    <row r="8" spans="2:15">
      <c r="B8" s="2"/>
      <c r="C8" s="2"/>
      <c r="D8" s="2"/>
      <c r="E8" s="2"/>
      <c r="F8" s="2"/>
      <c r="G8" s="2"/>
      <c r="H8" s="2">
        <v>0</v>
      </c>
      <c r="I8" s="2">
        <v>1</v>
      </c>
      <c r="J8" s="2">
        <v>0</v>
      </c>
      <c r="K8" s="2">
        <v>0</v>
      </c>
      <c r="L8" s="4">
        <f t="shared" si="0"/>
        <v>6.3333333333333339E-2</v>
      </c>
      <c r="M8" s="4">
        <f t="shared" si="1"/>
        <v>3.3333333333333335E-3</v>
      </c>
      <c r="N8" s="2"/>
      <c r="O8" s="2"/>
    </row>
    <row r="9" spans="2:15">
      <c r="B9" s="2"/>
      <c r="C9" s="2"/>
      <c r="D9" s="2"/>
      <c r="E9" s="2"/>
      <c r="F9" s="2"/>
      <c r="G9" s="2"/>
      <c r="H9" s="2">
        <v>0</v>
      </c>
      <c r="I9" s="2">
        <v>1</v>
      </c>
      <c r="J9" s="2">
        <v>0</v>
      </c>
      <c r="K9" s="2">
        <v>1</v>
      </c>
      <c r="L9" s="4">
        <f t="shared" si="0"/>
        <v>6.6666666666666666E-2</v>
      </c>
      <c r="M9" s="4">
        <f t="shared" si="1"/>
        <v>3.3333333333333335E-3</v>
      </c>
      <c r="N9" s="2"/>
      <c r="O9" s="2"/>
    </row>
    <row r="10" spans="2:15">
      <c r="B10" s="2"/>
      <c r="C10" s="2"/>
      <c r="D10" s="2"/>
      <c r="E10" s="2"/>
      <c r="F10" s="2"/>
      <c r="G10" s="2"/>
      <c r="H10" s="2">
        <v>0</v>
      </c>
      <c r="I10" s="2">
        <v>1</v>
      </c>
      <c r="J10" s="2">
        <v>1</v>
      </c>
      <c r="K10" s="2">
        <v>0</v>
      </c>
      <c r="L10" s="4">
        <f t="shared" si="0"/>
        <v>6.9999999999999993E-2</v>
      </c>
      <c r="M10" s="4">
        <f t="shared" si="1"/>
        <v>3.3333333333333335E-3</v>
      </c>
      <c r="N10" s="2"/>
      <c r="O10" s="2"/>
    </row>
    <row r="11" spans="2:15">
      <c r="B11" s="2"/>
      <c r="C11" s="2"/>
      <c r="D11" s="2"/>
      <c r="E11" s="2"/>
      <c r="F11" s="2"/>
      <c r="G11" s="2"/>
      <c r="H11" s="2">
        <v>0</v>
      </c>
      <c r="I11" s="2">
        <v>1</v>
      </c>
      <c r="J11" s="2">
        <v>1</v>
      </c>
      <c r="K11" s="2">
        <v>1</v>
      </c>
      <c r="L11" s="4">
        <f t="shared" si="0"/>
        <v>7.333333333333332E-2</v>
      </c>
      <c r="M11" s="4">
        <f t="shared" si="1"/>
        <v>3.3333333333333335E-3</v>
      </c>
      <c r="N11" s="2"/>
      <c r="O11" s="2"/>
    </row>
    <row r="12" spans="2:15">
      <c r="B12" s="2"/>
      <c r="C12" s="2"/>
      <c r="D12" s="2"/>
      <c r="E12" s="2"/>
      <c r="F12" s="2"/>
      <c r="G12" s="2"/>
      <c r="H12" s="2">
        <v>1</v>
      </c>
      <c r="I12" s="2">
        <v>0</v>
      </c>
      <c r="J12" s="2">
        <v>0</v>
      </c>
      <c r="K12" s="2">
        <v>0</v>
      </c>
      <c r="L12" s="4">
        <f t="shared" si="0"/>
        <v>7.6666666666666647E-2</v>
      </c>
      <c r="M12" s="4">
        <f t="shared" si="1"/>
        <v>3.3333333333333335E-3</v>
      </c>
      <c r="N12" s="2"/>
      <c r="O12" s="2"/>
    </row>
    <row r="13" spans="2:15">
      <c r="B13" s="2"/>
      <c r="C13" s="2"/>
      <c r="D13" s="2"/>
      <c r="E13" s="2"/>
      <c r="F13" s="2"/>
      <c r="G13" s="2"/>
      <c r="H13" s="2">
        <v>1</v>
      </c>
      <c r="I13" s="2">
        <v>0</v>
      </c>
      <c r="J13" s="2">
        <v>0</v>
      </c>
      <c r="K13" s="2">
        <v>1</v>
      </c>
      <c r="L13" s="4">
        <f t="shared" si="0"/>
        <v>7.9999999999999974E-2</v>
      </c>
      <c r="M13" s="4">
        <f t="shared" si="1"/>
        <v>3.3333333333333335E-3</v>
      </c>
      <c r="N13" s="2"/>
      <c r="O13" s="2"/>
    </row>
    <row r="14" spans="2:15">
      <c r="B14" s="2"/>
      <c r="C14" s="2"/>
      <c r="D14" s="2"/>
      <c r="E14" s="2"/>
      <c r="F14" s="2"/>
      <c r="G14" s="2"/>
      <c r="H14" s="2">
        <v>1</v>
      </c>
      <c r="I14" s="2">
        <v>0</v>
      </c>
      <c r="J14" s="2">
        <v>1</v>
      </c>
      <c r="K14" s="2">
        <v>0</v>
      </c>
      <c r="L14" s="4">
        <f t="shared" si="0"/>
        <v>8.3333333333333301E-2</v>
      </c>
      <c r="M14" s="4">
        <f t="shared" si="1"/>
        <v>3.3333333333333335E-3</v>
      </c>
      <c r="N14" s="2"/>
      <c r="O14" s="2"/>
    </row>
    <row r="15" spans="2:15">
      <c r="B15" s="2"/>
      <c r="C15" s="2"/>
      <c r="D15" s="2"/>
      <c r="E15" s="2"/>
      <c r="F15" s="2"/>
      <c r="G15" s="2"/>
      <c r="H15" s="2">
        <v>1</v>
      </c>
      <c r="I15" s="2">
        <v>0</v>
      </c>
      <c r="J15" s="2">
        <v>1</v>
      </c>
      <c r="K15" s="2">
        <v>1</v>
      </c>
      <c r="L15" s="4">
        <f t="shared" si="0"/>
        <v>8.6666666666666628E-2</v>
      </c>
      <c r="M15" s="4">
        <f t="shared" si="1"/>
        <v>3.3333333333333335E-3</v>
      </c>
      <c r="N15" s="2"/>
      <c r="O15" s="2"/>
    </row>
    <row r="16" spans="2:15">
      <c r="B16" s="2"/>
      <c r="C16" s="2"/>
      <c r="D16" s="2"/>
      <c r="E16" s="2"/>
      <c r="F16" s="2"/>
      <c r="G16" s="2"/>
      <c r="H16" s="2">
        <v>1</v>
      </c>
      <c r="I16" s="2">
        <v>1</v>
      </c>
      <c r="J16" s="2">
        <v>0</v>
      </c>
      <c r="K16" s="2">
        <v>0</v>
      </c>
      <c r="L16" s="4">
        <f t="shared" si="0"/>
        <v>8.9999999999999955E-2</v>
      </c>
      <c r="M16" s="4">
        <f t="shared" si="1"/>
        <v>3.3333333333333335E-3</v>
      </c>
      <c r="N16" s="2"/>
      <c r="O16" s="2"/>
    </row>
    <row r="17" spans="2:15">
      <c r="B17" s="2"/>
      <c r="C17" s="2"/>
      <c r="D17" s="2"/>
      <c r="E17" s="2"/>
      <c r="F17" s="2"/>
      <c r="G17" s="2"/>
      <c r="H17" s="2">
        <v>1</v>
      </c>
      <c r="I17" s="2">
        <v>1</v>
      </c>
      <c r="J17" s="2">
        <v>0</v>
      </c>
      <c r="K17" s="2">
        <v>1</v>
      </c>
      <c r="L17" s="4">
        <f t="shared" si="0"/>
        <v>9.3333333333333282E-2</v>
      </c>
      <c r="M17" s="4">
        <f t="shared" si="1"/>
        <v>3.3333333333333335E-3</v>
      </c>
      <c r="N17" s="2"/>
      <c r="O17" s="2"/>
    </row>
    <row r="18" spans="2:15">
      <c r="B18" s="2"/>
      <c r="C18" s="2"/>
      <c r="D18" s="2"/>
      <c r="E18" s="2"/>
      <c r="F18" s="2"/>
      <c r="G18" s="2"/>
      <c r="H18" s="2">
        <v>1</v>
      </c>
      <c r="I18" s="2">
        <v>1</v>
      </c>
      <c r="J18" s="2">
        <v>1</v>
      </c>
      <c r="K18" s="2">
        <v>0</v>
      </c>
      <c r="L18" s="4">
        <f t="shared" si="0"/>
        <v>9.6666666666666609E-2</v>
      </c>
      <c r="M18" s="4">
        <f t="shared" si="1"/>
        <v>3.3333333333333335E-3</v>
      </c>
      <c r="N18" s="2"/>
      <c r="O18" s="2"/>
    </row>
    <row r="19" spans="2:15">
      <c r="B19" s="2"/>
      <c r="C19" s="2"/>
      <c r="D19" s="2"/>
      <c r="E19" s="2"/>
      <c r="F19" s="2"/>
      <c r="G19" s="2"/>
      <c r="H19" s="5">
        <v>1</v>
      </c>
      <c r="I19" s="5">
        <v>1</v>
      </c>
      <c r="J19" s="5">
        <v>1</v>
      </c>
      <c r="K19" s="5">
        <v>1</v>
      </c>
      <c r="L19" s="6">
        <f>L18+M19</f>
        <v>9.9999999999999936E-2</v>
      </c>
      <c r="M19" s="6">
        <f t="shared" si="1"/>
        <v>3.3333333333333335E-3</v>
      </c>
      <c r="N19" s="5" t="s">
        <v>13</v>
      </c>
      <c r="O19" s="2"/>
    </row>
    <row r="20" spans="2:15">
      <c r="B20" s="2"/>
      <c r="C20" s="2"/>
      <c r="D20" s="2"/>
      <c r="E20" s="2"/>
      <c r="F20" s="2"/>
      <c r="G20" s="2"/>
      <c r="H20" s="2"/>
      <c r="I20" s="2"/>
      <c r="J20" s="2"/>
      <c r="K20" s="2"/>
      <c r="L20" s="4"/>
      <c r="M20" s="4"/>
      <c r="N20" s="2"/>
      <c r="O20" s="2"/>
    </row>
    <row r="21" spans="2:15">
      <c r="B21" s="2"/>
      <c r="C21" s="2" t="s">
        <v>14</v>
      </c>
      <c r="D21" s="3">
        <f>D3-D4</f>
        <v>0.05</v>
      </c>
      <c r="E21" s="3"/>
      <c r="F21" s="3"/>
      <c r="G21" s="2"/>
      <c r="H21" s="2"/>
      <c r="I21" s="2"/>
      <c r="J21" s="2"/>
      <c r="K21" s="2"/>
      <c r="L21" s="4"/>
      <c r="M21" s="4"/>
      <c r="N21" s="2"/>
      <c r="O21" s="2"/>
    </row>
    <row r="22" spans="2:15">
      <c r="B22" s="2"/>
      <c r="C22" s="2"/>
      <c r="D22" s="2"/>
      <c r="E22" s="2"/>
      <c r="F22" s="2"/>
      <c r="G22" s="2"/>
      <c r="H22" s="2"/>
      <c r="I22" s="2"/>
      <c r="J22" s="2"/>
      <c r="K22" s="2"/>
      <c r="L22" s="4"/>
      <c r="M22" s="4"/>
      <c r="N22" s="2"/>
      <c r="O22" s="2"/>
    </row>
  </sheetData>
  <mergeCells count="2">
    <mergeCell ref="B1:O1"/>
    <mergeCell ref="H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4E57-9FB4-475C-8E65-384F7BA8D79B}">
  <dimension ref="A1:G23"/>
  <sheetViews>
    <sheetView workbookViewId="0">
      <selection activeCell="C4" sqref="C4"/>
    </sheetView>
  </sheetViews>
  <sheetFormatPr defaultRowHeight="15"/>
  <cols>
    <col min="1" max="1" width="11.28515625" bestFit="1" customWidth="1"/>
    <col min="3" max="3" width="13.5703125" bestFit="1" customWidth="1"/>
  </cols>
  <sheetData>
    <row r="1" spans="1:7">
      <c r="B1" s="10" t="s">
        <v>15</v>
      </c>
      <c r="C1" s="10"/>
      <c r="D1" s="10"/>
      <c r="E1" s="10"/>
      <c r="F1" s="10"/>
      <c r="G1" s="10"/>
    </row>
    <row r="2" spans="1:7">
      <c r="B2">
        <v>5</v>
      </c>
      <c r="D2">
        <v>10</v>
      </c>
      <c r="E2">
        <v>15</v>
      </c>
      <c r="F2">
        <v>20</v>
      </c>
      <c r="G2">
        <v>25</v>
      </c>
    </row>
    <row r="3" spans="1:7">
      <c r="A3" t="s">
        <v>16</v>
      </c>
      <c r="B3" t="s">
        <v>8</v>
      </c>
      <c r="C3" t="s">
        <v>17</v>
      </c>
    </row>
    <row r="4" spans="1:7">
      <c r="A4">
        <v>5</v>
      </c>
      <c r="B4">
        <v>0.09</v>
      </c>
      <c r="C4">
        <f>B4*24</f>
        <v>2.16</v>
      </c>
      <c r="D4" t="s">
        <v>18</v>
      </c>
    </row>
    <row r="5" spans="1:7">
      <c r="A5">
        <v>10</v>
      </c>
      <c r="B5">
        <v>0.17599999999999999</v>
      </c>
      <c r="C5">
        <f t="shared" ref="C5:C23" si="0">B5*24</f>
        <v>4.2240000000000002</v>
      </c>
      <c r="D5">
        <v>176</v>
      </c>
      <c r="E5" t="s">
        <v>18</v>
      </c>
    </row>
    <row r="6" spans="1:7">
      <c r="A6">
        <v>15</v>
      </c>
      <c r="B6">
        <v>0.26400000000000001</v>
      </c>
      <c r="C6">
        <f t="shared" si="0"/>
        <v>6.3360000000000003</v>
      </c>
      <c r="F6" t="s">
        <v>18</v>
      </c>
    </row>
    <row r="7" spans="1:7">
      <c r="A7">
        <v>20</v>
      </c>
      <c r="B7">
        <v>0.35199999999999998</v>
      </c>
      <c r="C7">
        <f t="shared" si="0"/>
        <v>8.4480000000000004</v>
      </c>
      <c r="G7" t="s">
        <v>18</v>
      </c>
    </row>
    <row r="8" spans="1:7">
      <c r="A8">
        <v>25</v>
      </c>
      <c r="B8">
        <v>0.441</v>
      </c>
      <c r="C8">
        <f t="shared" si="0"/>
        <v>10.584</v>
      </c>
    </row>
    <row r="9" spans="1:7">
      <c r="A9">
        <v>30</v>
      </c>
      <c r="B9">
        <v>0.52900000000000003</v>
      </c>
      <c r="C9">
        <f t="shared" si="0"/>
        <v>12.696000000000002</v>
      </c>
    </row>
    <row r="10" spans="1:7">
      <c r="A10">
        <v>35</v>
      </c>
      <c r="B10">
        <v>0.61699999999999999</v>
      </c>
      <c r="C10">
        <f t="shared" si="0"/>
        <v>14.808</v>
      </c>
    </row>
    <row r="11" spans="1:7">
      <c r="A11">
        <v>40</v>
      </c>
      <c r="B11">
        <v>0.70599999999999996</v>
      </c>
      <c r="C11">
        <f t="shared" si="0"/>
        <v>16.943999999999999</v>
      </c>
    </row>
    <row r="12" spans="1:7">
      <c r="A12">
        <v>45</v>
      </c>
      <c r="B12">
        <v>0.79300000000000004</v>
      </c>
      <c r="C12">
        <f t="shared" si="0"/>
        <v>19.032</v>
      </c>
    </row>
    <row r="13" spans="1:7">
      <c r="A13">
        <v>50</v>
      </c>
      <c r="B13">
        <v>0.88100000000000001</v>
      </c>
      <c r="C13">
        <f t="shared" si="0"/>
        <v>21.143999999999998</v>
      </c>
    </row>
    <row r="14" spans="1:7">
      <c r="A14" s="7">
        <v>55</v>
      </c>
      <c r="B14" s="7">
        <v>0.97</v>
      </c>
      <c r="C14" s="7">
        <f t="shared" si="0"/>
        <v>23.28</v>
      </c>
    </row>
    <row r="15" spans="1:7">
      <c r="A15">
        <v>60</v>
      </c>
      <c r="B15">
        <v>0.97299999999999998</v>
      </c>
      <c r="C15">
        <f t="shared" si="0"/>
        <v>23.352</v>
      </c>
    </row>
    <row r="16" spans="1:7">
      <c r="A16">
        <v>65</v>
      </c>
      <c r="B16">
        <v>0.97499999999999998</v>
      </c>
      <c r="C16">
        <f t="shared" si="0"/>
        <v>23.4</v>
      </c>
    </row>
    <row r="17" spans="1:3">
      <c r="A17">
        <v>70</v>
      </c>
      <c r="B17">
        <v>0.97599999999999998</v>
      </c>
      <c r="C17">
        <f t="shared" si="0"/>
        <v>23.423999999999999</v>
      </c>
    </row>
    <row r="18" spans="1:3">
      <c r="A18">
        <v>75</v>
      </c>
      <c r="B18">
        <v>0.97699999999999998</v>
      </c>
      <c r="C18">
        <f t="shared" si="0"/>
        <v>23.448</v>
      </c>
    </row>
    <row r="19" spans="1:3">
      <c r="A19">
        <v>80</v>
      </c>
      <c r="B19">
        <v>0.97799999999999998</v>
      </c>
      <c r="C19">
        <f t="shared" si="0"/>
        <v>23.472000000000001</v>
      </c>
    </row>
    <row r="20" spans="1:3">
      <c r="A20">
        <v>85</v>
      </c>
      <c r="B20">
        <v>0.97899999999999998</v>
      </c>
      <c r="C20">
        <f t="shared" si="0"/>
        <v>23.495999999999999</v>
      </c>
    </row>
    <row r="21" spans="1:3">
      <c r="A21">
        <v>90</v>
      </c>
      <c r="B21">
        <v>0.98</v>
      </c>
      <c r="C21">
        <f t="shared" si="0"/>
        <v>23.52</v>
      </c>
    </row>
    <row r="22" spans="1:3">
      <c r="A22">
        <v>95</v>
      </c>
      <c r="B22">
        <v>0.98099999999999998</v>
      </c>
      <c r="C22">
        <f t="shared" si="0"/>
        <v>23.544</v>
      </c>
    </row>
    <row r="23" spans="1:3">
      <c r="A23">
        <v>100</v>
      </c>
      <c r="B23">
        <v>0.98099999999999998</v>
      </c>
      <c r="C23">
        <f t="shared" si="0"/>
        <v>23.544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Thermalimage</dc:creator>
  <cp:keywords/>
  <dc:description/>
  <cp:lastModifiedBy>Guest User</cp:lastModifiedBy>
  <cp:revision/>
  <dcterms:created xsi:type="dcterms:W3CDTF">2023-10-12T14:44:33Z</dcterms:created>
  <dcterms:modified xsi:type="dcterms:W3CDTF">2024-02-09T15:36:31Z</dcterms:modified>
  <cp:category/>
  <cp:contentStatus/>
</cp:coreProperties>
</file>